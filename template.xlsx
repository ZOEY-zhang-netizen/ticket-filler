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tiandexiaodiannao/Downloads/"/>
    </mc:Choice>
  </mc:AlternateContent>
  <xr:revisionPtr revIDLastSave="0" documentId="13_ncr:1_{A0DCEC51-9F90-8F45-ACCF-A873632D52CF}" xr6:coauthVersionLast="47" xr6:coauthVersionMax="47" xr10:uidLastSave="{00000000-0000-0000-0000-000000000000}"/>
  <bookViews>
    <workbookView xWindow="0" yWindow="740" windowWidth="28800" windowHeight="15680" tabRatio="781" xr2:uid="{00000000-000D-0000-FFFF-FFFF00000000}"/>
  </bookViews>
  <sheets>
    <sheet name="「抖音」产品建码表  " sheetId="4" r:id="rId1"/>
  </sheets>
  <definedNames>
    <definedName name="_xlnm._FilterDatabase" localSheetId="0" hidden="1">'「抖音」产品建码表  '!$A$1:$AN$3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V3" i="4"/>
  <c r="U3" i="4"/>
  <c r="T3" i="4"/>
  <c r="I3" i="4"/>
  <c r="W2" i="4"/>
  <c r="V2" i="4"/>
  <c r="U2" i="4"/>
  <c r="T2" i="4"/>
  <c r="I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F1" authorId="0" shapeId="0" xr:uid="{00000000-0006-0000-0000-000001000000}">
      <text>
        <r>
          <rPr>
            <sz val="10"/>
            <color rgb="FF000000"/>
            <rFont val="微软雅黑"/>
            <family val="2"/>
            <charset val="134"/>
          </rPr>
          <t>1、常规产品，请选择「常规」标签；
2、选项中未尽活动，请选择「其他活动」标签，并在自定义产品名中添加活动关键词，如青春环游记成人预售票，选择「其他活动」标签后，</t>
        </r>
        <r>
          <rPr>
            <b/>
            <sz val="10"/>
            <color rgb="FFFF0000"/>
            <rFont val="微软雅黑"/>
            <family val="2"/>
            <charset val="134"/>
          </rPr>
          <t>在自定义名称处，添加关键词</t>
        </r>
        <r>
          <rPr>
            <sz val="10"/>
            <color rgb="FF000000"/>
            <rFont val="微软雅黑"/>
            <family val="2"/>
            <charset val="134"/>
          </rPr>
          <t>“青春环游记”。</t>
        </r>
      </text>
    </comment>
    <comment ref="G1" authorId="0" shapeId="0" xr:uid="{00000000-0006-0000-0000-000002000000}">
      <text>
        <r>
          <rPr>
            <sz val="10"/>
            <color rgb="FF000000"/>
            <rFont val="微软雅黑"/>
            <family val="2"/>
            <charset val="134"/>
          </rPr>
          <t>1、通常为日常沟通中的简略产品名；
2、产品相关选项中未尽的产品核心信息请在此体现，如</t>
        </r>
        <r>
          <rPr>
            <b/>
            <sz val="10"/>
            <color rgb="FFFF0000"/>
            <rFont val="微软雅黑"/>
            <family val="2"/>
            <charset val="134"/>
          </rPr>
          <t>夜场信息</t>
        </r>
        <r>
          <rPr>
            <sz val="10"/>
            <color rgb="FF000000"/>
            <rFont val="微软雅黑"/>
            <family val="2"/>
            <charset val="134"/>
          </rPr>
          <t>、</t>
        </r>
        <r>
          <rPr>
            <b/>
            <sz val="10"/>
            <color rgb="FFFF0000"/>
            <rFont val="微软雅黑"/>
            <family val="2"/>
            <charset val="134"/>
          </rPr>
          <t>组合产品中的衍消内容</t>
        </r>
        <r>
          <rPr>
            <sz val="10"/>
            <color rgb="FF000000"/>
            <rFont val="微软雅黑"/>
            <family val="2"/>
            <charset val="134"/>
          </rPr>
          <t>、选项中未体现的</t>
        </r>
        <r>
          <rPr>
            <b/>
            <sz val="10"/>
            <color rgb="FFFF0000"/>
            <rFont val="微软雅黑"/>
            <family val="2"/>
            <charset val="134"/>
          </rPr>
          <t>活动标签</t>
        </r>
        <r>
          <rPr>
            <sz val="10"/>
            <color rgb="FF000000"/>
            <rFont val="微软雅黑"/>
            <family val="2"/>
            <charset val="134"/>
          </rPr>
          <t>等。</t>
        </r>
      </text>
    </comment>
    <comment ref="P1" authorId="0" shapeId="0" xr:uid="{00000000-0006-0000-0000-000003000000}">
      <text>
        <r>
          <rPr>
            <sz val="10"/>
            <color rgb="FF000000"/>
            <rFont val="Microsoft YaHei UI"/>
            <family val="2"/>
            <charset val="134"/>
          </rPr>
          <t>“是”为仅限直播间可见，poi可见选择否</t>
        </r>
      </text>
    </comment>
    <comment ref="U1" authorId="0" shapeId="0" xr:uid="{00000000-0006-0000-0000-000004000000}">
      <text>
        <r>
          <rPr>
            <sz val="10"/>
            <color rgb="FF000000"/>
            <rFont val="宋体"/>
            <family val="3"/>
            <charset val="134"/>
            <scheme val="minor"/>
          </rPr>
          <t>如为固定比例佣金，请自行计算实际金额后填写</t>
        </r>
      </text>
    </comment>
    <comment ref="V1" authorId="0" shapeId="0" xr:uid="{00000000-0006-0000-0000-000005000000}">
      <text>
        <r>
          <rPr>
            <sz val="10"/>
            <color rgb="FF000000"/>
            <rFont val="宋体"/>
            <family val="3"/>
            <charset val="134"/>
            <scheme val="minor"/>
          </rPr>
          <t>如为固定比例佣金，请自行计算实际金额后填写</t>
        </r>
      </text>
    </comment>
    <comment ref="AH1" authorId="0" shapeId="0" xr:uid="{00000000-0006-0000-0000-000006000000}">
      <text>
        <r>
          <rPr>
            <sz val="10"/>
            <color rgb="FF000000"/>
            <rFont val="微软雅黑"/>
            <family val="2"/>
            <charset val="134"/>
          </rPr>
          <t>1、如为每个身份证游玩当日限购X张，需在</t>
        </r>
        <r>
          <rPr>
            <b/>
            <sz val="10"/>
            <color rgb="FFFF0000"/>
            <rFont val="微软雅黑"/>
            <family val="2"/>
            <charset val="134"/>
          </rPr>
          <t>「AF」列填写“游玩当日”</t>
        </r>
        <r>
          <rPr>
            <sz val="10"/>
            <color rgb="FF000000"/>
            <rFont val="微软雅黑"/>
            <family val="2"/>
            <charset val="134"/>
          </rPr>
          <t>，「AG」列填写限购张数；
2、如为每XX天限购X张，</t>
        </r>
        <r>
          <rPr>
            <b/>
            <sz val="10"/>
            <color rgb="FFFF0000"/>
            <rFont val="微软雅黑"/>
            <family val="2"/>
            <charset val="134"/>
          </rPr>
          <t>需在「AF」列填写“X天”</t>
        </r>
        <r>
          <rPr>
            <sz val="10"/>
            <color rgb="FF000000"/>
            <rFont val="微软雅黑"/>
            <family val="2"/>
            <charset val="134"/>
          </rPr>
          <t>，「AG」列填写限购张数；
3、如为“活动期限购XX张”，可</t>
        </r>
        <r>
          <rPr>
            <b/>
            <sz val="10"/>
            <color rgb="FFFF0000"/>
            <rFont val="微软雅黑"/>
            <family val="2"/>
            <charset val="134"/>
          </rPr>
          <t>计算预计活动天数</t>
        </r>
        <r>
          <rPr>
            <sz val="10"/>
            <color rgb="FF000000"/>
            <rFont val="微软雅黑"/>
            <family val="2"/>
            <charset val="134"/>
          </rPr>
          <t>后填写。</t>
        </r>
      </text>
    </comment>
    <comment ref="AJ1" authorId="0" shapeId="0" xr:uid="{00000000-0006-0000-0000-000007000000}">
      <text>
        <r>
          <rPr>
            <sz val="10"/>
            <color rgb="FF000000"/>
            <rFont val="微软雅黑"/>
            <family val="2"/>
            <charset val="134"/>
          </rPr>
          <t>1、如为每个身份证游玩当日限购X张，</t>
        </r>
        <r>
          <rPr>
            <b/>
            <sz val="10"/>
            <color rgb="FFFF0000"/>
            <rFont val="微软雅黑"/>
            <family val="2"/>
            <charset val="134"/>
          </rPr>
          <t>需在「AF」列填写“游玩当日”</t>
        </r>
        <r>
          <rPr>
            <sz val="10"/>
            <color rgb="FF000000"/>
            <rFont val="微软雅黑"/>
            <family val="2"/>
            <charset val="134"/>
          </rPr>
          <t>，「AG」列填写限购张数；
2、如为每XX天限购X张，</t>
        </r>
        <r>
          <rPr>
            <b/>
            <sz val="10"/>
            <color rgb="FFFF0000"/>
            <rFont val="微软雅黑"/>
            <family val="2"/>
            <charset val="134"/>
          </rPr>
          <t>需在「AF」列填写“X天”</t>
        </r>
        <r>
          <rPr>
            <sz val="10"/>
            <color rgb="FF000000"/>
            <rFont val="微软雅黑"/>
            <family val="2"/>
            <charset val="134"/>
          </rPr>
          <t>，「AG」列填写限购张数；
3、如为“活动期限购XX张”，可</t>
        </r>
        <r>
          <rPr>
            <b/>
            <sz val="10"/>
            <color rgb="FFFF0000"/>
            <rFont val="微软雅黑"/>
            <family val="2"/>
            <charset val="134"/>
          </rPr>
          <t>计算预计活动天数</t>
        </r>
        <r>
          <rPr>
            <sz val="10"/>
            <color rgb="FF000000"/>
            <rFont val="微软雅黑"/>
            <family val="2"/>
            <charset val="134"/>
          </rPr>
          <t>后填写。</t>
        </r>
      </text>
    </comment>
  </commentList>
</comments>
</file>

<file path=xl/sharedStrings.xml><?xml version="1.0" encoding="utf-8"?>
<sst xmlns="http://schemas.openxmlformats.org/spreadsheetml/2006/main" count="72" uniqueCount="58">
  <si>
    <t>线下编码</t>
  </si>
  <si>
    <t>智游宝编码</t>
  </si>
  <si>
    <t>销售渠道</t>
  </si>
  <si>
    <r>
      <rPr>
        <b/>
        <sz val="10"/>
        <color theme="1"/>
        <rFont val="微软雅黑"/>
        <family val="2"/>
        <charset val="134"/>
      </rPr>
      <t xml:space="preserve">年份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</si>
  <si>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项目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</si>
  <si>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活动标签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</si>
  <si>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站外产品名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</si>
  <si>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平日/高峰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</si>
  <si>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站内产品名
</t>
    </r>
    <r>
      <rPr>
        <b/>
        <i/>
        <sz val="10"/>
        <color theme="1"/>
        <rFont val="微软雅黑"/>
        <family val="2"/>
        <charset val="134"/>
      </rPr>
      <t>智游宝建票名 自动生成</t>
    </r>
  </si>
  <si>
    <t>销售时间（起）</t>
  </si>
  <si>
    <t>销售时间（止）</t>
  </si>
  <si>
    <t>使用时间（起）</t>
  </si>
  <si>
    <t>使用时间（止）</t>
  </si>
  <si>
    <t>门市价</t>
  </si>
  <si>
    <t>销售价</t>
  </si>
  <si>
    <t>直播间专属</t>
  </si>
  <si>
    <t>日库存</t>
  </si>
  <si>
    <t>总库存</t>
  </si>
  <si>
    <t>平台</t>
  </si>
  <si>
    <r>
      <rPr>
        <b/>
        <sz val="10"/>
        <color theme="1"/>
        <rFont val="微软雅黑"/>
        <family val="2"/>
        <charset val="134"/>
      </rPr>
      <t>费率</t>
    </r>
    <r>
      <rPr>
        <b/>
        <i/>
        <sz val="10"/>
        <color theme="1"/>
        <rFont val="微软雅黑"/>
        <family val="2"/>
        <charset val="134"/>
      </rPr>
      <t xml:space="preserve">
自动生成</t>
    </r>
  </si>
  <si>
    <t>达人佣金/CPS</t>
  </si>
  <si>
    <t>达人佣金/CPS（比例）</t>
  </si>
  <si>
    <r>
      <rPr>
        <b/>
        <sz val="10"/>
        <color theme="1"/>
        <rFont val="微软雅黑"/>
        <family val="2"/>
        <charset val="134"/>
      </rPr>
      <t xml:space="preserve">结算价
</t>
    </r>
    <r>
      <rPr>
        <b/>
        <i/>
        <sz val="10"/>
        <color theme="1"/>
        <rFont val="微软雅黑"/>
        <family val="2"/>
        <charset val="134"/>
      </rPr>
      <t>自动生成</t>
    </r>
  </si>
  <si>
    <t>佣金定向</t>
  </si>
  <si>
    <t>价格分成-营销</t>
  </si>
  <si>
    <t>价格分成-衍消1</t>
  </si>
  <si>
    <r>
      <rPr>
        <b/>
        <sz val="10"/>
        <color theme="1"/>
        <rFont val="微软雅黑"/>
        <family val="2"/>
        <charset val="134"/>
      </rPr>
      <t xml:space="preserve">餐饮价格分成-衍消
</t>
    </r>
    <r>
      <rPr>
        <b/>
        <i/>
        <sz val="10"/>
        <color theme="1"/>
        <rFont val="微软雅黑"/>
        <family val="2"/>
        <charset val="134"/>
      </rPr>
      <t>自动生成</t>
    </r>
  </si>
  <si>
    <t>是否实名制</t>
  </si>
  <si>
    <r>
      <rPr>
        <b/>
        <sz val="10"/>
        <color theme="1"/>
        <rFont val="微软雅黑"/>
        <family val="2"/>
        <charset val="134"/>
      </rPr>
      <t xml:space="preserve">门票形式
</t>
    </r>
    <r>
      <rPr>
        <b/>
        <i/>
        <sz val="10"/>
        <color theme="1"/>
        <rFont val="微软雅黑"/>
        <family val="2"/>
        <charset val="134"/>
      </rPr>
      <t>必填</t>
    </r>
  </si>
  <si>
    <r>
      <rPr>
        <b/>
        <sz val="10"/>
        <color theme="1"/>
        <rFont val="微软雅黑"/>
        <family val="2"/>
        <charset val="134"/>
      </rPr>
      <t xml:space="preserve">提前预定
</t>
    </r>
    <r>
      <rPr>
        <b/>
        <i/>
        <sz val="10"/>
        <color theme="1"/>
        <rFont val="微软雅黑"/>
        <family val="2"/>
        <charset val="134"/>
      </rPr>
      <t>必填</t>
    </r>
  </si>
  <si>
    <t>年龄限制</t>
  </si>
  <si>
    <t>性别限制</t>
  </si>
  <si>
    <t>每笔订单限购数量</t>
  </si>
  <si>
    <t>每个身份证
每XX天/游玩当日限购XX张</t>
  </si>
  <si>
    <t>每个手机号
每XX天/游玩当日限购XX张</t>
  </si>
  <si>
    <t>是否发二维码</t>
  </si>
  <si>
    <t>产品说明</t>
  </si>
  <si>
    <t>退款条件
选填</t>
  </si>
  <si>
    <t>抖团-门票</t>
  </si>
  <si>
    <t>上海</t>
  </si>
  <si>
    <t>其他活动</t>
  </si>
  <si>
    <t>双人特惠票-4月</t>
  </si>
  <si>
    <t>（通用）</t>
  </si>
  <si>
    <t>否</t>
  </si>
  <si>
    <t>不限</t>
  </si>
  <si>
    <t>-</t>
  </si>
  <si>
    <t>是</t>
  </si>
  <si>
    <t>期票</t>
  </si>
  <si>
    <t>提前9小时</t>
  </si>
  <si>
    <t>每30天</t>
  </si>
  <si>
    <t>【费用包含】：上海海昌海洋公园双人票1张；
【游玩人群】：2名成人（需同时入园）；
【购买规则】：期票，实名制购票，下单9小时后方可入园，单笔订单限购1张，活动期间同一身份证号限购1张，刷身份证入园；
【使用规则】：：本产品2026年4月6日-4月30日期间仅限入园使用1次；刷本人购票身份证入园（门票仅限入园当日有效，离开园区后当日再入园需重新购票）；
【退改规则】：已使用不可退，未使用可退，单张双人特惠票不支持部分退款；</t>
  </si>
  <si>
    <t>已使用不可退，未使用可退，单张双人特惠票不支持部分退款。</t>
  </si>
  <si>
    <t>抖音半直连</t>
  </si>
  <si>
    <t>抖音日历票</t>
  </si>
  <si>
    <t>日历票</t>
  </si>
  <si>
    <t>提前1天</t>
  </si>
  <si>
    <t>游玩当日</t>
  </si>
  <si>
    <t>【费用包含】：上海海昌海洋公园双人票1张；
【游玩人群】：2名成人（需同时入园）；
【购买规则】：提前1天实名制购票，指定日生效，单笔订单限购5张，游玩日当天同一身份证号限购1张，刷身份证入园；
【使用规则】：刷本人购票身份证入园；
【退改规则】：已使用不可退，未使用可退，单张双人特惠票不支持部分退款；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</si>
</sst>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_ * #,##0.00_ ;_ * \-#,##0.00_ ;_ * &quot;-&quot;??_ ;_ @_ "/>
    <numFmt numFmtId="180" formatCode="yyyy&quot;年&quot;m&quot;月&quot;d&quot;日&quot;;@"/>
    <numFmt numFmtId="181" formatCode="0.00_);[Red]\(0.00\)"/>
    <numFmt numFmtId="182" formatCode="yyyy/m/d;@"/>
  </numFmts>
  <fonts count="13">
    <font>
      <sz val="11"/>
      <color theme="1"/>
      <name val="宋体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 UI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178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8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1" xfId="4" applyFont="1" applyBorder="1" applyAlignment="1" applyProtection="1">
      <alignment horizontal="center" vertical="center" wrapText="1"/>
      <protection locked="0"/>
    </xf>
    <xf numFmtId="0" fontId="1" fillId="0" borderId="1" xfId="4" applyFont="1" applyBorder="1" applyAlignment="1" applyProtection="1">
      <alignment horizontal="center" vertical="center"/>
      <protection locked="0"/>
    </xf>
    <xf numFmtId="180" fontId="1" fillId="0" borderId="1" xfId="4" applyNumberFormat="1" applyFont="1" applyBorder="1" applyAlignment="1" applyProtection="1">
      <alignment horizontal="center" vertical="center" wrapText="1"/>
      <protection locked="0"/>
    </xf>
    <xf numFmtId="178" fontId="1" fillId="0" borderId="1" xfId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0" fontId="4" fillId="2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40" fontId="2" fillId="0" borderId="1" xfId="0" applyNumberFormat="1" applyFont="1" applyBorder="1" applyAlignment="1">
      <alignment horizontal="center" vertical="center" wrapText="1"/>
    </xf>
    <xf numFmtId="40" fontId="4" fillId="2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Fill="1" applyBorder="1" applyAlignment="1" applyProtection="1">
      <alignment horizontal="center" vertical="center" wrapText="1"/>
      <protection locked="0"/>
    </xf>
    <xf numFmtId="181" fontId="2" fillId="0" borderId="1" xfId="0" applyNumberFormat="1" applyFont="1" applyBorder="1" applyAlignment="1">
      <alignment horizontal="center" vertical="center"/>
    </xf>
    <xf numFmtId="4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178" fontId="1" fillId="0" borderId="1" xfId="1" applyFont="1" applyFill="1" applyBorder="1" applyAlignment="1" applyProtection="1">
      <alignment horizontal="center" vertical="center" wrapText="1"/>
      <protection locked="0"/>
    </xf>
  </cellXfs>
  <cellStyles count="9">
    <cellStyle name="百分比" xfId="2" builtinId="5"/>
    <cellStyle name="百分比 2" xfId="3" xr:uid="{00000000-0005-0000-0000-000031000000}"/>
    <cellStyle name="常规" xfId="0" builtinId="0"/>
    <cellStyle name="常规 2" xfId="4" xr:uid="{00000000-0005-0000-0000-000032000000}"/>
    <cellStyle name="常规 2 2" xfId="5" xr:uid="{00000000-0005-0000-0000-000033000000}"/>
    <cellStyle name="常规 3" xfId="6" xr:uid="{00000000-0005-0000-0000-000034000000}"/>
    <cellStyle name="千位分隔" xfId="1" builtinId="3"/>
    <cellStyle name="千位分隔 2" xfId="7" xr:uid="{00000000-0005-0000-0000-000035000000}"/>
    <cellStyle name="千位分隔 3" xfId="8" xr:uid="{00000000-0005-0000-0000-000036000000}"/>
  </cellStyles>
  <dxfs count="0"/>
  <tableStyles count="0" defaultTableStyle="TableStyleMedium9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N3"/>
  <sheetViews>
    <sheetView tabSelected="1" zoomScale="85" zoomScaleNormal="85" workbookViewId="0">
      <pane ySplit="1" topLeftCell="A2" activePane="bottomLeft" state="frozen"/>
      <selection pane="bottomLeft" activeCell="I2" sqref="I2"/>
    </sheetView>
  </sheetViews>
  <sheetFormatPr baseColWidth="10" defaultColWidth="9" defaultRowHeight="67" customHeight="1"/>
  <cols>
    <col min="1" max="1" width="8.83203125" style="2" customWidth="1"/>
    <col min="2" max="2" width="24.5" style="2" customWidth="1"/>
    <col min="3" max="3" width="10.33203125" style="2" customWidth="1"/>
    <col min="4" max="4" width="7.33203125" style="2" customWidth="1"/>
    <col min="5" max="5" width="6" style="2" customWidth="1"/>
    <col min="6" max="6" width="7.83203125" style="2" customWidth="1"/>
    <col min="7" max="7" width="23.5" style="2" customWidth="1"/>
    <col min="8" max="8" width="7.83203125" style="2" customWidth="1"/>
    <col min="9" max="9" width="40.6640625" style="2" customWidth="1"/>
    <col min="10" max="10" width="15.6640625" style="3" customWidth="1"/>
    <col min="11" max="11" width="17" style="3" customWidth="1"/>
    <col min="12" max="12" width="21.83203125" style="3" customWidth="1"/>
    <col min="13" max="13" width="26.33203125" style="3" customWidth="1"/>
    <col min="14" max="14" width="15" style="2" customWidth="1"/>
    <col min="15" max="15" width="12.83203125" style="2" customWidth="1"/>
    <col min="16" max="16" width="8.6640625" style="2" customWidth="1"/>
    <col min="17" max="17" width="6" style="4" customWidth="1"/>
    <col min="18" max="18" width="6" style="2" customWidth="1"/>
    <col min="19" max="19" width="10.33203125" style="5" customWidth="1"/>
    <col min="20" max="20" width="7.1640625" style="2" customWidth="1"/>
    <col min="21" max="21" width="7.6640625" style="5" customWidth="1"/>
    <col min="22" max="22" width="11.5" style="5" customWidth="1"/>
    <col min="23" max="23" width="9.1640625" style="2" customWidth="1"/>
    <col min="24" max="24" width="7.6640625" style="2" customWidth="1"/>
    <col min="25" max="25" width="11.6640625" style="2" customWidth="1"/>
    <col min="26" max="26" width="12.6640625" style="2" customWidth="1"/>
    <col min="27" max="27" width="11.6640625" style="2" customWidth="1"/>
    <col min="28" max="28" width="9.1640625" style="2" customWidth="1"/>
    <col min="29" max="29" width="7.6640625" style="2" customWidth="1"/>
    <col min="30" max="30" width="8.1640625" style="2" customWidth="1"/>
    <col min="31" max="32" width="7.6640625" style="2" customWidth="1"/>
    <col min="33" max="33" width="9.1640625" style="2" customWidth="1"/>
    <col min="34" max="34" width="9.33203125" style="2" customWidth="1"/>
    <col min="35" max="35" width="5.5" style="2" customWidth="1"/>
    <col min="36" max="36" width="6.6640625" style="2" customWidth="1"/>
    <col min="37" max="37" width="7.33203125" style="2" customWidth="1"/>
    <col min="38" max="38" width="10.83203125" style="2" customWidth="1"/>
    <col min="39" max="39" width="68.5" style="6" customWidth="1"/>
    <col min="40" max="40" width="22.6640625" style="2" customWidth="1"/>
    <col min="41" max="16384" width="9" style="2"/>
  </cols>
  <sheetData>
    <row r="1" spans="1:40" s="1" customFormat="1" ht="67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31" t="s">
        <v>33</v>
      </c>
      <c r="AI1" s="31"/>
      <c r="AJ1" s="31" t="s">
        <v>34</v>
      </c>
      <c r="AK1" s="31"/>
      <c r="AL1" s="10" t="s">
        <v>35</v>
      </c>
      <c r="AM1" s="7" t="s">
        <v>36</v>
      </c>
      <c r="AN1" s="7" t="s">
        <v>37</v>
      </c>
    </row>
    <row r="2" spans="1:40" ht="119">
      <c r="A2" s="11"/>
      <c r="B2" s="11"/>
      <c r="C2" s="12" t="s">
        <v>38</v>
      </c>
      <c r="D2" s="13">
        <v>2026</v>
      </c>
      <c r="E2" s="13" t="s">
        <v>39</v>
      </c>
      <c r="F2" s="11" t="s">
        <v>40</v>
      </c>
      <c r="G2" s="14" t="s">
        <v>41</v>
      </c>
      <c r="H2" s="15" t="s">
        <v>42</v>
      </c>
      <c r="I2" s="14" t="str">
        <f>D2&amp;E2&amp;"「"&amp;F2&amp;"」"&amp;G2&amp;H2&amp;AC2&amp;AD2&amp;"-"&amp;S2</f>
        <v>2026上海「其他活动」双人特惠票-4月（通用）期票提前9小时-抖团-门票</v>
      </c>
      <c r="J2" s="16">
        <v>46118</v>
      </c>
      <c r="K2" s="17">
        <v>46141</v>
      </c>
      <c r="L2" s="16">
        <v>46118</v>
      </c>
      <c r="M2" s="17">
        <v>46142</v>
      </c>
      <c r="N2" s="18">
        <v>798</v>
      </c>
      <c r="O2" s="19">
        <v>459</v>
      </c>
      <c r="P2" s="20" t="s">
        <v>43</v>
      </c>
      <c r="Q2" s="21" t="s">
        <v>44</v>
      </c>
      <c r="R2" s="21" t="s">
        <v>44</v>
      </c>
      <c r="S2" s="12" t="s">
        <v>38</v>
      </c>
      <c r="T2" s="22">
        <f>IF(S2="视频号",0.2%,IF(S2="小程序",0.6%,(IF(S2="飞猪",2.5%,(IF(S2="京东",4%,(IF(S2="拼多多",0.6%,(IF(S2="抖团-期票",0,IF(S2="视频号",2%,(IF(S2="抖音小店",2%,5%)))))))))))))</f>
        <v>0.05</v>
      </c>
      <c r="U2" s="12">
        <f>O2*10%</f>
        <v>45.9</v>
      </c>
      <c r="V2" s="23">
        <f>U2/O2</f>
        <v>0.1</v>
      </c>
      <c r="W2" s="24">
        <f>O2*(1-T2)-U2</f>
        <v>390.15</v>
      </c>
      <c r="X2" s="24" t="s">
        <v>45</v>
      </c>
      <c r="Y2" s="25"/>
      <c r="Z2" s="25"/>
      <c r="AA2" s="25"/>
      <c r="AB2" s="13" t="s">
        <v>46</v>
      </c>
      <c r="AC2" s="13" t="s">
        <v>47</v>
      </c>
      <c r="AD2" s="13" t="s">
        <v>48</v>
      </c>
      <c r="AE2" s="13"/>
      <c r="AF2" s="13"/>
      <c r="AG2" s="13">
        <v>1</v>
      </c>
      <c r="AH2" s="26" t="s">
        <v>49</v>
      </c>
      <c r="AI2" s="27">
        <v>1</v>
      </c>
      <c r="AJ2" s="28"/>
      <c r="AK2" s="28"/>
      <c r="AL2" s="28" t="s">
        <v>43</v>
      </c>
      <c r="AM2" s="29" t="s">
        <v>50</v>
      </c>
      <c r="AN2" s="30" t="s">
        <v>51</v>
      </c>
    </row>
    <row r="3" spans="1:40" ht="102">
      <c r="A3" s="11"/>
      <c r="B3" s="11"/>
      <c r="C3" s="12" t="s">
        <v>52</v>
      </c>
      <c r="D3" s="13">
        <v>2026</v>
      </c>
      <c r="E3" s="13" t="s">
        <v>39</v>
      </c>
      <c r="F3" s="11" t="s">
        <v>40</v>
      </c>
      <c r="G3" s="14" t="s">
        <v>41</v>
      </c>
      <c r="H3" s="15" t="s">
        <v>42</v>
      </c>
      <c r="I3" s="14" t="str">
        <f>D3&amp;E3&amp;"「"&amp;F3&amp;"」"&amp;G3&amp;H3&amp;AC3&amp;AD3&amp;"-"&amp;S3</f>
        <v>2026上海「其他活动」双人特惠票-4月（通用）日历票提前1天-抖音日历票</v>
      </c>
      <c r="J3" s="16">
        <v>46118</v>
      </c>
      <c r="K3" s="17">
        <v>46141</v>
      </c>
      <c r="L3" s="16">
        <v>46119</v>
      </c>
      <c r="M3" s="17">
        <v>46142</v>
      </c>
      <c r="N3" s="18">
        <v>798</v>
      </c>
      <c r="O3" s="19">
        <v>459</v>
      </c>
      <c r="P3" s="20" t="s">
        <v>43</v>
      </c>
      <c r="Q3" s="21" t="s">
        <v>44</v>
      </c>
      <c r="R3" s="21" t="s">
        <v>44</v>
      </c>
      <c r="S3" s="12" t="s">
        <v>53</v>
      </c>
      <c r="T3" s="22">
        <f>IF(S3="视频号",0.2%,IF(S3="小程序",0.6%,(IF(S3="飞猪",2.5%,(IF(S3="京东",4%,(IF(S3="拼多多",0.6%,(IF(S3="抖团-期票",0,IF(S3="视频号",2%,(IF(S3="抖音小店",2%,5%)))))))))))))</f>
        <v>0.05</v>
      </c>
      <c r="U3" s="12">
        <f>O3*10%</f>
        <v>45.9</v>
      </c>
      <c r="V3" s="23">
        <f>U3/O3</f>
        <v>0.1</v>
      </c>
      <c r="W3" s="24">
        <f>O3*(1-T3)-U3</f>
        <v>390.15</v>
      </c>
      <c r="X3" s="24" t="s">
        <v>45</v>
      </c>
      <c r="Y3" s="25"/>
      <c r="Z3" s="25"/>
      <c r="AA3" s="25"/>
      <c r="AB3" s="13" t="s">
        <v>46</v>
      </c>
      <c r="AC3" s="13" t="s">
        <v>54</v>
      </c>
      <c r="AD3" s="13" t="s">
        <v>55</v>
      </c>
      <c r="AE3" s="13"/>
      <c r="AF3" s="13"/>
      <c r="AG3" s="13">
        <v>5</v>
      </c>
      <c r="AH3" s="26" t="s">
        <v>56</v>
      </c>
      <c r="AI3" s="26">
        <v>1</v>
      </c>
      <c r="AJ3" s="28"/>
      <c r="AK3" s="28"/>
      <c r="AL3" s="28" t="s">
        <v>43</v>
      </c>
      <c r="AM3" s="29" t="s">
        <v>57</v>
      </c>
      <c r="AN3" s="30" t="s">
        <v>51</v>
      </c>
    </row>
  </sheetData>
  <autoFilter ref="A1:AN3" xr:uid="{00000000-0009-0000-0000-000000000000}"/>
  <mergeCells count="2">
    <mergeCell ref="AH1:AI1"/>
    <mergeCell ref="AJ1:AK1"/>
  </mergeCells>
  <phoneticPr fontId="12" type="noConversion"/>
  <dataValidations count="9">
    <dataValidation type="list" allowBlank="1" showInputMessage="1" showErrorMessage="1" sqref="C2:C3" xr:uid="{00000000-0002-0000-0000-000000000000}">
      <formula1>"小程序,飞猪,京东,视频号,抖团-门票,抖音半直连,抖音小程序"</formula1>
    </dataValidation>
    <dataValidation type="list" allowBlank="1" showInputMessage="1" showErrorMessage="1" sqref="D2:D3" xr:uid="{00000000-0002-0000-0000-000001000000}">
      <formula1>"2021,2022,2023,2024,2025,2026,2027"</formula1>
    </dataValidation>
    <dataValidation type="list" allowBlank="1" showInputMessage="1" showErrorMessage="1" sqref="E2:E3" xr:uid="{00000000-0002-0000-0000-000002000000}">
      <formula1>"上海,郑州,发现,烟台,重庆,三亚,虎滩"</formula1>
    </dataValidation>
    <dataValidation type="list" allowBlank="1" showInputMessage="1" showErrorMessage="1" sqref="F2:F3" xr:uid="{00000000-0002-0000-0000-000003000000}">
      <formula1>"常规,元旦,春节,情人节,妇女节,清明,418,五一,母亲节,六一,618,父亲节,端午,暑期,七夕,教师节,重阳节,十一,万圣,感恩节,双十一,双十二,圣诞,宠爱季,周年庆,会员日,其他活动"</formula1>
    </dataValidation>
    <dataValidation type="list" allowBlank="1" showInputMessage="1" showErrorMessage="1" sqref="H2:H3" xr:uid="{00000000-0002-0000-0000-000004000000}">
      <formula1>"（高峰）,（通用）,（特定日期）,（特别常规日）,（常规日）"</formula1>
    </dataValidation>
    <dataValidation type="list" allowBlank="1" showInputMessage="1" showErrorMessage="1" sqref="P2:P3 AB2:AB3 AL2:AL3" xr:uid="{00000000-0002-0000-0000-000005000000}">
      <formula1>"是,否"</formula1>
    </dataValidation>
    <dataValidation type="list" allowBlank="1" showInputMessage="1" showErrorMessage="1" sqref="S2:S3" xr:uid="{00000000-0002-0000-0000-000006000000}">
      <formula1>"小程序,飞猪,京东,视频号,抖团-门票,抖音日历票,抖音小程序"</formula1>
    </dataValidation>
    <dataValidation type="list" errorStyle="information" allowBlank="1" showInputMessage="1" showErrorMessage="1" sqref="AD2:AD3" xr:uid="{00000000-0002-0000-0000-000007000000}">
      <formula1>"即买即用, 提前1小时, 提前2小时, 提前3小时, 提前1天, 提前2天, 提前3天,提前9小时"</formula1>
    </dataValidation>
    <dataValidation type="list" allowBlank="1" showInputMessage="1" showErrorMessage="1" sqref="AH2:AH3 AJ2:AJ3" xr:uid="{00000000-0002-0000-0000-000008000000}">
      <formula1>"游玩当日,每1天,每5天,每30天,每60天,每90天,每365天"</formula1>
    </dataValidation>
  </dataValidations>
  <pageMargins left="0.69930555555555596" right="0.69930555555555596" top="0.75" bottom="0.75" header="0.3" footer="0.3"/>
  <pageSetup paperSize="9" scale="50" orientation="portrait" horizontalDpi="2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「抖音」产品建码表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k10790</cp:lastModifiedBy>
  <dcterms:created xsi:type="dcterms:W3CDTF">2006-09-19T03:21:00Z</dcterms:created>
  <dcterms:modified xsi:type="dcterms:W3CDTF">2026-04-05T07:28:53Z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78BE77E2480F4C1A9145A34FAA74CB8F_13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